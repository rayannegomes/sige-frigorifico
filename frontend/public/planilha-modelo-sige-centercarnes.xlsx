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as" sheetId="1" r:id="rId4"/>
    <sheet state="visible" name="Estoque" sheetId="2" r:id="rId5"/>
    <sheet state="visible" name="📋 Instruções" sheetId="3" r:id="rId6"/>
  </sheets>
  <definedNames/>
  <calcPr/>
  <extLst>
    <ext uri="GoogleSheetsCustomDataVersion2">
      <go:sheetsCustomData xmlns:go="http://customooxmlschemas.google.com/" r:id="rId7" roundtripDataChecksum="yC8Ulwt2AOc4mB92cuVaTL4DRzqRtGWrsH8OO6cFMeQ="/>
    </ext>
  </extLst>
</workbook>
</file>

<file path=xl/sharedStrings.xml><?xml version="1.0" encoding="utf-8"?>
<sst xmlns="http://schemas.openxmlformats.org/spreadsheetml/2006/main" count="38" uniqueCount="36">
  <si>
    <t>✏️ Preencha os campos abaixo com os dados de vendas. A coluna 'Valor Total' é calculada automaticamente.</t>
  </si>
  <si>
    <t>Data</t>
  </si>
  <si>
    <t>Produto</t>
  </si>
  <si>
    <t>Categoria</t>
  </si>
  <si>
    <t>Quantidade (kg)</t>
  </si>
  <si>
    <t>Valor Unitario</t>
  </si>
  <si>
    <t>Valor Total</t>
  </si>
  <si>
    <t>✏️ Preencha Produto, Quantidade e Data Entrada. As colunas em AZUL são calculadas automaticamente.</t>
  </si>
  <si>
    <t>Data Entrada</t>
  </si>
  <si>
    <t>Cobertura (dias)</t>
  </si>
  <si>
    <t>Dias em Estoque</t>
  </si>
  <si>
    <t>SIGE FRIGORÍFICO — Modelo de Planilha</t>
  </si>
  <si>
    <t>ABA VENDAS</t>
  </si>
  <si>
    <t>• Data: formato DD/MM/AAAA (ex: 01/06/2026)</t>
  </si>
  <si>
    <t>• Produto: nome exato do produto</t>
  </si>
  <si>
    <t>• Categoria: Bovina, Aves, Suína, Ovina, Peixes</t>
  </si>
  <si>
    <t>• Quantidade (kg): use ponto ou vírgula como decimal</t>
  </si>
  <si>
    <t>• Valor Unitario: preço por kg</t>
  </si>
  <si>
    <t>• Valor Total: calculado automaticamente</t>
  </si>
  <si>
    <t>ABA ESTOQUE</t>
  </si>
  <si>
    <t>• Produto: deve ser igual ao nome usado na aba Vendas</t>
  </si>
  <si>
    <t>• Quantidade (kg): quantidade atual em estoque</t>
  </si>
  <si>
    <t>• Data Entrada: data que o lote entrou (DD/MM/AAAA)</t>
  </si>
  <si>
    <t>• Cobertura (dias): calculado automaticamente</t>
  </si>
  <si>
    <t>• Dias em Estoque: calculado automaticamente</t>
  </si>
  <si>
    <t>SITUAÇÃO DO ESTOQUE (calculada pelo sistema)</t>
  </si>
  <si>
    <t>• Adequado: cobertura &gt; 3 dias</t>
  </si>
  <si>
    <t>• Atenção: cobertura entre 1 e 3 dias</t>
  </si>
  <si>
    <t>• Baixo: cobertura &lt; 1 dia</t>
  </si>
  <si>
    <t>• Ruptura: cobertura = 0</t>
  </si>
  <si>
    <t>ÍNDICE DE RISCO (calculado pelo sistema)</t>
  </si>
  <si>
    <t>• Promoção Urgente: +30 dias em estoque com cobertura alta</t>
  </si>
  <si>
    <t>• Promoção: +20 dias com cobertura média</t>
  </si>
  <si>
    <t>• Atenção: +15 dias com baixa cobertura</t>
  </si>
  <si>
    <t>• Comprar: estoque crítico em produto recente</t>
  </si>
  <si>
    <t>• Normal: estoque saudável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</si>
</sst>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166534"/>
      <name val="Calibri"/>
      <scheme val="minor"/>
    </font>
    <font/>
    <font>
      <b/>
      <color rgb="FFFFFFFF"/>
      <name val="Calibri"/>
      <scheme val="minor"/>
    </font>
    <font>
      <b/>
      <color rgb="FF60A5FA"/>
      <name val="Calibri"/>
      <scheme val="minor"/>
    </font>
    <font>
      <sz val="11.0"/>
      <color theme="1"/>
      <name val="Calibri"/>
    </font>
    <font>
      <i/>
      <color rgb="FF1D6FD8"/>
      <name val="Calibri"/>
      <scheme val="minor"/>
    </font>
    <font>
      <b/>
      <sz val="10.0"/>
      <color rgb="FF1E3A5F"/>
      <name val="Calibri"/>
      <scheme val="minor"/>
    </font>
    <font>
      <b/>
      <sz val="11.0"/>
      <color rgb="FFFFFFFF"/>
      <name val="Calibri"/>
      <scheme val="minor"/>
    </font>
    <font>
      <sz val="10.0"/>
      <color rgb="FF1A2340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CFCE7"/>
        <bgColor rgb="FFDCFCE7"/>
      </patternFill>
    </fill>
    <fill>
      <patternFill patternType="solid">
        <fgColor rgb="FF0D1B2A"/>
        <bgColor rgb="FF0D1B2A"/>
      </patternFill>
    </fill>
    <fill>
      <patternFill patternType="solid">
        <fgColor rgb="FF1D3557"/>
        <bgColor rgb="FF1D3557"/>
      </patternFill>
    </fill>
    <fill>
      <patternFill patternType="solid">
        <fgColor rgb="FFF0FDF4"/>
        <bgColor rgb="FFF0FDF4"/>
      </patternFill>
    </fill>
    <fill>
      <patternFill patternType="solid">
        <fgColor rgb="FFDBEAFE"/>
        <bgColor rgb="FFDBEAFE"/>
      </patternFill>
    </fill>
    <fill>
      <patternFill patternType="solid">
        <fgColor rgb="FF1D6FD8"/>
        <bgColor rgb="FF1D6FD8"/>
      </patternFill>
    </fill>
    <fill>
      <patternFill patternType="solid">
        <fgColor rgb="FF166534"/>
        <bgColor rgb="FF166534"/>
      </patternFill>
    </fill>
    <fill>
      <patternFill patternType="solid">
        <fgColor rgb="FFC0202A"/>
        <bgColor rgb="FFC020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DE1EA"/>
      </left>
      <right style="thin">
        <color rgb="FFDDE1EA"/>
      </right>
      <top style="thin">
        <color rgb="FFDDE1EA"/>
      </top>
      <bottom style="thin">
        <color rgb="FFDDE1EA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4" fillId="5" fontId="5" numFmtId="0" xfId="0" applyBorder="1" applyFill="1" applyFont="1"/>
    <xf borderId="4" fillId="6" fontId="6" numFmtId="0" xfId="0" applyBorder="1" applyFill="1" applyFont="1"/>
    <xf borderId="1" fillId="6" fontId="7" numFmtId="0" xfId="0" applyAlignment="1" applyBorder="1" applyFont="1">
      <alignment horizontal="center" vertical="center"/>
    </xf>
    <xf borderId="5" fillId="3" fontId="8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" fillId="7" fontId="8" numFmtId="0" xfId="0" applyAlignment="1" applyBorder="1" applyFill="1" applyFont="1">
      <alignment vertical="center"/>
    </xf>
    <xf borderId="0" fillId="0" fontId="9" numFmtId="0" xfId="0" applyAlignment="1" applyFont="1">
      <alignment readingOrder="0" vertical="center"/>
    </xf>
    <xf borderId="5" fillId="8" fontId="8" numFmtId="0" xfId="0" applyAlignment="1" applyBorder="1" applyFill="1" applyFont="1">
      <alignment vertical="center"/>
    </xf>
    <xf borderId="5" fillId="9" fontId="8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2.0"/>
    <col customWidth="1" min="3" max="3" width="14.0"/>
    <col customWidth="1" min="4" max="4" width="18.0"/>
    <col customWidth="1" min="5" max="6" width="16.0"/>
    <col customWidth="1" min="7" max="26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>
      <c r="A3" s="6"/>
      <c r="B3" s="6"/>
      <c r="C3" s="6"/>
      <c r="D3" s="6"/>
      <c r="E3" s="6"/>
      <c r="F3" s="7" t="str">
        <f t="shared" ref="F3:F22" si="1">IF(D3="","",D3*E3)</f>
        <v/>
      </c>
    </row>
    <row r="4">
      <c r="A4" s="6"/>
      <c r="B4" s="6"/>
      <c r="C4" s="6"/>
      <c r="D4" s="6"/>
      <c r="E4" s="6"/>
      <c r="F4" s="7" t="str">
        <f t="shared" si="1"/>
        <v/>
      </c>
    </row>
    <row r="5">
      <c r="A5" s="6"/>
      <c r="B5" s="6"/>
      <c r="C5" s="6"/>
      <c r="D5" s="6"/>
      <c r="E5" s="6"/>
      <c r="F5" s="7" t="str">
        <f t="shared" si="1"/>
        <v/>
      </c>
    </row>
    <row r="6">
      <c r="A6" s="6"/>
      <c r="B6" s="6"/>
      <c r="C6" s="6"/>
      <c r="D6" s="6"/>
      <c r="E6" s="6"/>
      <c r="F6" s="7" t="str">
        <f t="shared" si="1"/>
        <v/>
      </c>
    </row>
    <row r="7">
      <c r="A7" s="6"/>
      <c r="B7" s="6"/>
      <c r="C7" s="6"/>
      <c r="D7" s="6"/>
      <c r="E7" s="6"/>
      <c r="F7" s="7" t="str">
        <f t="shared" si="1"/>
        <v/>
      </c>
    </row>
    <row r="8">
      <c r="A8" s="6"/>
      <c r="B8" s="6"/>
      <c r="C8" s="6"/>
      <c r="D8" s="6"/>
      <c r="E8" s="6"/>
      <c r="F8" s="7" t="str">
        <f t="shared" si="1"/>
        <v/>
      </c>
    </row>
    <row r="9">
      <c r="A9" s="6"/>
      <c r="B9" s="6"/>
      <c r="C9" s="6"/>
      <c r="D9" s="6"/>
      <c r="E9" s="6"/>
      <c r="F9" s="7" t="str">
        <f t="shared" si="1"/>
        <v/>
      </c>
    </row>
    <row r="10">
      <c r="A10" s="6"/>
      <c r="B10" s="6"/>
      <c r="C10" s="6"/>
      <c r="D10" s="6"/>
      <c r="E10" s="6"/>
      <c r="F10" s="7" t="str">
        <f t="shared" si="1"/>
        <v/>
      </c>
    </row>
    <row r="11">
      <c r="A11" s="6"/>
      <c r="B11" s="6"/>
      <c r="C11" s="6"/>
      <c r="D11" s="6"/>
      <c r="E11" s="6"/>
      <c r="F11" s="7" t="str">
        <f t="shared" si="1"/>
        <v/>
      </c>
    </row>
    <row r="12">
      <c r="A12" s="6"/>
      <c r="B12" s="6"/>
      <c r="C12" s="6"/>
      <c r="D12" s="6"/>
      <c r="E12" s="6"/>
      <c r="F12" s="7" t="str">
        <f t="shared" si="1"/>
        <v/>
      </c>
    </row>
    <row r="13">
      <c r="A13" s="6"/>
      <c r="B13" s="6"/>
      <c r="C13" s="6"/>
      <c r="D13" s="6"/>
      <c r="E13" s="6"/>
      <c r="F13" s="7" t="str">
        <f t="shared" si="1"/>
        <v/>
      </c>
    </row>
    <row r="14">
      <c r="A14" s="6"/>
      <c r="B14" s="6"/>
      <c r="C14" s="6"/>
      <c r="D14" s="6"/>
      <c r="E14" s="6"/>
      <c r="F14" s="7" t="str">
        <f t="shared" si="1"/>
        <v/>
      </c>
    </row>
    <row r="15">
      <c r="A15" s="6"/>
      <c r="B15" s="6"/>
      <c r="C15" s="6"/>
      <c r="D15" s="6"/>
      <c r="E15" s="6"/>
      <c r="F15" s="7" t="str">
        <f t="shared" si="1"/>
        <v/>
      </c>
    </row>
    <row r="16">
      <c r="A16" s="6"/>
      <c r="B16" s="6"/>
      <c r="C16" s="6"/>
      <c r="D16" s="6"/>
      <c r="E16" s="6"/>
      <c r="F16" s="7" t="str">
        <f t="shared" si="1"/>
        <v/>
      </c>
    </row>
    <row r="17">
      <c r="A17" s="6"/>
      <c r="B17" s="6"/>
      <c r="C17" s="6"/>
      <c r="D17" s="6"/>
      <c r="E17" s="6"/>
      <c r="F17" s="7" t="str">
        <f t="shared" si="1"/>
        <v/>
      </c>
    </row>
    <row r="18">
      <c r="A18" s="6"/>
      <c r="B18" s="6"/>
      <c r="C18" s="6"/>
      <c r="D18" s="6"/>
      <c r="E18" s="6"/>
      <c r="F18" s="7" t="str">
        <f t="shared" si="1"/>
        <v/>
      </c>
    </row>
    <row r="19">
      <c r="A19" s="6"/>
      <c r="B19" s="6"/>
      <c r="C19" s="6"/>
      <c r="D19" s="6"/>
      <c r="E19" s="6"/>
      <c r="F19" s="7" t="str">
        <f t="shared" si="1"/>
        <v/>
      </c>
    </row>
    <row r="20">
      <c r="A20" s="6"/>
      <c r="B20" s="6"/>
      <c r="C20" s="6"/>
      <c r="D20" s="6"/>
      <c r="E20" s="6"/>
      <c r="F20" s="7" t="str">
        <f t="shared" si="1"/>
        <v/>
      </c>
    </row>
    <row r="21" ht="15.75" customHeight="1">
      <c r="A21" s="6"/>
      <c r="B21" s="6"/>
      <c r="C21" s="6"/>
      <c r="D21" s="6"/>
      <c r="E21" s="6"/>
      <c r="F21" s="7" t="str">
        <f t="shared" si="1"/>
        <v/>
      </c>
    </row>
    <row r="22" ht="15.75" customHeight="1">
      <c r="A22" s="6"/>
      <c r="B22" s="6"/>
      <c r="C22" s="6"/>
      <c r="D22" s="6"/>
      <c r="E22" s="6"/>
      <c r="F22" s="7" t="str">
        <f t="shared" si="1"/>
        <v/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4.0"/>
    <col customWidth="1" min="4" max="4" width="18.0"/>
    <col customWidth="1" min="5" max="5" width="16.0"/>
    <col customWidth="1" min="6" max="26" width="8.71"/>
  </cols>
  <sheetData>
    <row r="1" ht="19.5" customHeight="1">
      <c r="A1" s="8" t="s">
        <v>7</v>
      </c>
      <c r="B1" s="2"/>
      <c r="C1" s="2"/>
      <c r="D1" s="2"/>
      <c r="E1" s="3"/>
    </row>
    <row r="2">
      <c r="A2" s="4" t="s">
        <v>2</v>
      </c>
      <c r="B2" s="4" t="s">
        <v>4</v>
      </c>
      <c r="C2" s="4" t="s">
        <v>8</v>
      </c>
      <c r="D2" s="5" t="s">
        <v>9</v>
      </c>
      <c r="E2" s="5" t="s">
        <v>10</v>
      </c>
    </row>
    <row r="3">
      <c r="A3" s="6"/>
      <c r="B3" s="6"/>
      <c r="C3" s="6"/>
      <c r="D3" s="7">
        <f>IFERROR(ROUND(B3/IF(COUNTIFS(Vendas!B:B,A3)=0,1,SUMIFS(Vendas!D:D,Vendas!B:B,A3)/COUNTIFS(Vendas!A:A,"&lt;&gt;"&amp;"",Vendas!B:B,A3)),1),"")</f>
        <v>0</v>
      </c>
      <c r="E3" s="7" t="str">
        <f t="shared" ref="E3:E22" si="1">IFERROR(IF(C3="","",TODAY()-DATEVALUE(TEXT(C3,"DD/MM/YYYY"))),"")</f>
        <v/>
      </c>
    </row>
    <row r="4">
      <c r="A4" s="6"/>
      <c r="B4" s="6"/>
      <c r="C4" s="6"/>
      <c r="D4" s="7">
        <f>IFERROR(ROUND(B4/IF(COUNTIFS(Vendas!B:B,A4)=0,1,SUMIFS(Vendas!D:D,Vendas!B:B,A4)/COUNTIFS(Vendas!A:A,"&lt;&gt;"&amp;"",Vendas!B:B,A4)),1),"")</f>
        <v>0</v>
      </c>
      <c r="E4" s="7" t="str">
        <f t="shared" si="1"/>
        <v/>
      </c>
    </row>
    <row r="5">
      <c r="A5" s="6"/>
      <c r="B5" s="6"/>
      <c r="C5" s="6"/>
      <c r="D5" s="7">
        <f>IFERROR(ROUND(B5/IF(COUNTIFS(Vendas!B:B,A5)=0,1,SUMIFS(Vendas!D:D,Vendas!B:B,A5)/COUNTIFS(Vendas!A:A,"&lt;&gt;"&amp;"",Vendas!B:B,A5)),1),"")</f>
        <v>0</v>
      </c>
      <c r="E5" s="7" t="str">
        <f t="shared" si="1"/>
        <v/>
      </c>
    </row>
    <row r="6">
      <c r="A6" s="6"/>
      <c r="B6" s="6"/>
      <c r="C6" s="6"/>
      <c r="D6" s="7">
        <f>IFERROR(ROUND(B6/IF(COUNTIFS(Vendas!B:B,A6)=0,1,SUMIFS(Vendas!D:D,Vendas!B:B,A6)/COUNTIFS(Vendas!A:A,"&lt;&gt;"&amp;"",Vendas!B:B,A6)),1),"")</f>
        <v>0</v>
      </c>
      <c r="E6" s="7" t="str">
        <f t="shared" si="1"/>
        <v/>
      </c>
    </row>
    <row r="7">
      <c r="A7" s="6"/>
      <c r="B7" s="6"/>
      <c r="C7" s="6"/>
      <c r="D7" s="7">
        <f>IFERROR(ROUND(B7/IF(COUNTIFS(Vendas!B:B,A7)=0,1,SUMIFS(Vendas!D:D,Vendas!B:B,A7)/COUNTIFS(Vendas!A:A,"&lt;&gt;"&amp;"",Vendas!B:B,A7)),1),"")</f>
        <v>0</v>
      </c>
      <c r="E7" s="7" t="str">
        <f t="shared" si="1"/>
        <v/>
      </c>
    </row>
    <row r="8">
      <c r="A8" s="6"/>
      <c r="B8" s="6"/>
      <c r="C8" s="6"/>
      <c r="D8" s="7">
        <f>IFERROR(ROUND(B8/IF(COUNTIFS(Vendas!B:B,A8)=0,1,SUMIFS(Vendas!D:D,Vendas!B:B,A8)/COUNTIFS(Vendas!A:A,"&lt;&gt;"&amp;"",Vendas!B:B,A8)),1),"")</f>
        <v>0</v>
      </c>
      <c r="E8" s="7" t="str">
        <f t="shared" si="1"/>
        <v/>
      </c>
    </row>
    <row r="9">
      <c r="A9" s="6"/>
      <c r="B9" s="6"/>
      <c r="C9" s="6"/>
      <c r="D9" s="7">
        <f>IFERROR(ROUND(B9/IF(COUNTIFS(Vendas!B:B,A9)=0,1,SUMIFS(Vendas!D:D,Vendas!B:B,A9)/COUNTIFS(Vendas!A:A,"&lt;&gt;"&amp;"",Vendas!B:B,A9)),1),"")</f>
        <v>0</v>
      </c>
      <c r="E9" s="7" t="str">
        <f t="shared" si="1"/>
        <v/>
      </c>
    </row>
    <row r="10">
      <c r="A10" s="6"/>
      <c r="B10" s="6"/>
      <c r="C10" s="6"/>
      <c r="D10" s="7">
        <f>IFERROR(ROUND(B10/IF(COUNTIFS(Vendas!B:B,A10)=0,1,SUMIFS(Vendas!D:D,Vendas!B:B,A10)/COUNTIFS(Vendas!A:A,"&lt;&gt;"&amp;"",Vendas!B:B,A10)),1),"")</f>
        <v>0</v>
      </c>
      <c r="E10" s="7" t="str">
        <f t="shared" si="1"/>
        <v/>
      </c>
    </row>
    <row r="11">
      <c r="A11" s="6"/>
      <c r="B11" s="6"/>
      <c r="C11" s="6"/>
      <c r="D11" s="7">
        <f>IFERROR(ROUND(B11/IF(COUNTIFS(Vendas!B:B,A11)=0,1,SUMIFS(Vendas!D:D,Vendas!B:B,A11)/COUNTIFS(Vendas!A:A,"&lt;&gt;"&amp;"",Vendas!B:B,A11)),1),"")</f>
        <v>0</v>
      </c>
      <c r="E11" s="7" t="str">
        <f t="shared" si="1"/>
        <v/>
      </c>
    </row>
    <row r="12">
      <c r="A12" s="6"/>
      <c r="B12" s="6"/>
      <c r="C12" s="6"/>
      <c r="D12" s="7">
        <f>IFERROR(ROUND(B12/IF(COUNTIFS(Vendas!B:B,A12)=0,1,SUMIFS(Vendas!D:D,Vendas!B:B,A12)/COUNTIFS(Vendas!A:A,"&lt;&gt;"&amp;"",Vendas!B:B,A12)),1),"")</f>
        <v>0</v>
      </c>
      <c r="E12" s="7" t="str">
        <f t="shared" si="1"/>
        <v/>
      </c>
    </row>
    <row r="13">
      <c r="A13" s="6"/>
      <c r="B13" s="6"/>
      <c r="C13" s="6"/>
      <c r="D13" s="7">
        <f>IFERROR(ROUND(B13/IF(COUNTIFS(Vendas!B:B,A13)=0,1,SUMIFS(Vendas!D:D,Vendas!B:B,A13)/COUNTIFS(Vendas!A:A,"&lt;&gt;"&amp;"",Vendas!B:B,A13)),1),"")</f>
        <v>0</v>
      </c>
      <c r="E13" s="7" t="str">
        <f t="shared" si="1"/>
        <v/>
      </c>
    </row>
    <row r="14">
      <c r="A14" s="6"/>
      <c r="B14" s="6"/>
      <c r="C14" s="6"/>
      <c r="D14" s="7">
        <f>IFERROR(ROUND(B14/IF(COUNTIFS(Vendas!B:B,A14)=0,1,SUMIFS(Vendas!D:D,Vendas!B:B,A14)/COUNTIFS(Vendas!A:A,"&lt;&gt;"&amp;"",Vendas!B:B,A14)),1),"")</f>
        <v>0</v>
      </c>
      <c r="E14" s="7" t="str">
        <f t="shared" si="1"/>
        <v/>
      </c>
    </row>
    <row r="15">
      <c r="A15" s="6"/>
      <c r="B15" s="6"/>
      <c r="C15" s="6"/>
      <c r="D15" s="7">
        <f>IFERROR(ROUND(B15/IF(COUNTIFS(Vendas!B:B,A15)=0,1,SUMIFS(Vendas!D:D,Vendas!B:B,A15)/COUNTIFS(Vendas!A:A,"&lt;&gt;"&amp;"",Vendas!B:B,A15)),1),"")</f>
        <v>0</v>
      </c>
      <c r="E15" s="7" t="str">
        <f t="shared" si="1"/>
        <v/>
      </c>
    </row>
    <row r="16">
      <c r="A16" s="6"/>
      <c r="B16" s="6"/>
      <c r="C16" s="6"/>
      <c r="D16" s="7">
        <f>IFERROR(ROUND(B16/IF(COUNTIFS(Vendas!B:B,A16)=0,1,SUMIFS(Vendas!D:D,Vendas!B:B,A16)/COUNTIFS(Vendas!A:A,"&lt;&gt;"&amp;"",Vendas!B:B,A16)),1),"")</f>
        <v>0</v>
      </c>
      <c r="E16" s="7" t="str">
        <f t="shared" si="1"/>
        <v/>
      </c>
    </row>
    <row r="17">
      <c r="A17" s="6"/>
      <c r="B17" s="6"/>
      <c r="C17" s="6"/>
      <c r="D17" s="7">
        <f>IFERROR(ROUND(B17/IF(COUNTIFS(Vendas!B:B,A17)=0,1,SUMIFS(Vendas!D:D,Vendas!B:B,A17)/COUNTIFS(Vendas!A:A,"&lt;&gt;"&amp;"",Vendas!B:B,A17)),1),"")</f>
        <v>0</v>
      </c>
      <c r="E17" s="7" t="str">
        <f t="shared" si="1"/>
        <v/>
      </c>
    </row>
    <row r="18">
      <c r="A18" s="6"/>
      <c r="B18" s="6"/>
      <c r="C18" s="6"/>
      <c r="D18" s="7">
        <f>IFERROR(ROUND(B18/IF(COUNTIFS(Vendas!B:B,A18)=0,1,SUMIFS(Vendas!D:D,Vendas!B:B,A18)/COUNTIFS(Vendas!A:A,"&lt;&gt;"&amp;"",Vendas!B:B,A18)),1),"")</f>
        <v>0</v>
      </c>
      <c r="E18" s="7" t="str">
        <f t="shared" si="1"/>
        <v/>
      </c>
    </row>
    <row r="19">
      <c r="A19" s="6"/>
      <c r="B19" s="6"/>
      <c r="C19" s="6"/>
      <c r="D19" s="7">
        <f>IFERROR(ROUND(B19/IF(COUNTIFS(Vendas!B:B,A19)=0,1,SUMIFS(Vendas!D:D,Vendas!B:B,A19)/COUNTIFS(Vendas!A:A,"&lt;&gt;"&amp;"",Vendas!B:B,A19)),1),"")</f>
        <v>0</v>
      </c>
      <c r="E19" s="7" t="str">
        <f t="shared" si="1"/>
        <v/>
      </c>
    </row>
    <row r="20">
      <c r="A20" s="6"/>
      <c r="B20" s="6"/>
      <c r="C20" s="6"/>
      <c r="D20" s="7">
        <f>IFERROR(ROUND(B20/IF(COUNTIFS(Vendas!B:B,A20)=0,1,SUMIFS(Vendas!D:D,Vendas!B:B,A20)/COUNTIFS(Vendas!A:A,"&lt;&gt;"&amp;"",Vendas!B:B,A20)),1),"")</f>
        <v>0</v>
      </c>
      <c r="E20" s="7" t="str">
        <f t="shared" si="1"/>
        <v/>
      </c>
    </row>
    <row r="21" ht="15.75" customHeight="1">
      <c r="A21" s="6"/>
      <c r="B21" s="6"/>
      <c r="C21" s="6"/>
      <c r="D21" s="7">
        <f>IFERROR(ROUND(B21/IF(COUNTIFS(Vendas!B:B,A21)=0,1,SUMIFS(Vendas!D:D,Vendas!B:B,A21)/COUNTIFS(Vendas!A:A,"&lt;&gt;"&amp;"",Vendas!B:B,A21)),1),"")</f>
        <v>0</v>
      </c>
      <c r="E21" s="7" t="str">
        <f t="shared" si="1"/>
        <v/>
      </c>
    </row>
    <row r="22" ht="15.75" customHeight="1">
      <c r="A22" s="6"/>
      <c r="B22" s="6"/>
      <c r="C22" s="6"/>
      <c r="D22" s="7">
        <f>IFERROR(ROUND(B22/IF(COUNTIFS(Vendas!B:B,A22)=0,1,SUMIFS(Vendas!D:D,Vendas!B:B,A22)/COUNTIFS(Vendas!A:A,"&lt;&gt;"&amp;"",Vendas!B:B,A22)),1),"")</f>
        <v>0</v>
      </c>
      <c r="E22" s="7" t="str">
        <f t="shared" si="1"/>
        <v/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6" width="8.71"/>
  </cols>
  <sheetData>
    <row r="1" ht="18.0" customHeight="1">
      <c r="A1" s="9" t="s">
        <v>11</v>
      </c>
    </row>
    <row r="2" ht="18.0" customHeight="1">
      <c r="A2" s="10"/>
    </row>
    <row r="3" ht="18.0" customHeight="1">
      <c r="A3" s="11" t="s">
        <v>12</v>
      </c>
    </row>
    <row r="4" ht="18.0" customHeight="1">
      <c r="A4" s="10" t="s">
        <v>13</v>
      </c>
    </row>
    <row r="5" ht="18.0" customHeight="1">
      <c r="A5" s="10" t="s">
        <v>14</v>
      </c>
    </row>
    <row r="6" ht="18.0" customHeight="1">
      <c r="A6" s="10" t="s">
        <v>15</v>
      </c>
    </row>
    <row r="7" ht="18.0" customHeight="1">
      <c r="A7" s="10" t="s">
        <v>16</v>
      </c>
    </row>
    <row r="8" ht="18.0" customHeight="1">
      <c r="A8" s="10" t="s">
        <v>17</v>
      </c>
    </row>
    <row r="9" ht="18.0" customHeight="1">
      <c r="A9" s="12" t="s">
        <v>18</v>
      </c>
    </row>
    <row r="10" ht="18.0" customHeight="1">
      <c r="A10" s="10"/>
    </row>
    <row r="11" ht="18.0" customHeight="1">
      <c r="A11" s="11" t="s">
        <v>19</v>
      </c>
    </row>
    <row r="12" ht="18.0" customHeight="1">
      <c r="A12" s="10" t="s">
        <v>20</v>
      </c>
    </row>
    <row r="13" ht="18.0" customHeight="1">
      <c r="A13" s="10" t="s">
        <v>21</v>
      </c>
    </row>
    <row r="14" ht="18.0" customHeight="1">
      <c r="A14" s="10" t="s">
        <v>22</v>
      </c>
    </row>
    <row r="15" ht="18.0" customHeight="1">
      <c r="A15" s="12" t="s">
        <v>23</v>
      </c>
    </row>
    <row r="16" ht="18.0" customHeight="1">
      <c r="A16" s="12" t="s">
        <v>24</v>
      </c>
    </row>
    <row r="17" ht="18.0" customHeight="1">
      <c r="A17" s="10"/>
    </row>
    <row r="18" ht="18.0" customHeight="1">
      <c r="A18" s="13" t="s">
        <v>25</v>
      </c>
    </row>
    <row r="19" ht="18.0" customHeight="1">
      <c r="A19" s="10" t="s">
        <v>26</v>
      </c>
    </row>
    <row r="20" ht="18.0" customHeight="1">
      <c r="A20" s="10" t="s">
        <v>27</v>
      </c>
    </row>
    <row r="21" ht="18.0" customHeight="1">
      <c r="A21" s="10" t="s">
        <v>28</v>
      </c>
    </row>
    <row r="22" ht="18.0" customHeight="1">
      <c r="A22" s="10" t="s">
        <v>29</v>
      </c>
    </row>
    <row r="23" ht="18.0" customHeight="1">
      <c r="A23" s="10"/>
    </row>
    <row r="24" ht="18.0" customHeight="1">
      <c r="A24" s="14" t="s">
        <v>30</v>
      </c>
    </row>
    <row r="25" ht="18.0" customHeight="1">
      <c r="A25" s="10" t="s">
        <v>31</v>
      </c>
    </row>
    <row r="26" ht="18.0" customHeight="1">
      <c r="A26" s="10" t="s">
        <v>32</v>
      </c>
    </row>
    <row r="27" ht="18.0" customHeight="1">
      <c r="A27" s="10" t="s">
        <v>33</v>
      </c>
    </row>
    <row r="28" ht="18.0" customHeight="1">
      <c r="A28" s="10" t="s">
        <v>34</v>
      </c>
    </row>
    <row r="29" ht="18.0" customHeight="1">
      <c r="A29" s="10" t="s">
        <v>35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2026-06-15T20:11:48Z</dcterms:created>
  <dc:creator>openpyxl</dc:creator>
</cp:coreProperties>
</file>